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mal\OneDrive\Desktop\KAMAL Pivot table Practise data\Pivot table\Dashboard practice file for students 2\Dashboard practice file for students\"/>
    </mc:Choice>
  </mc:AlternateContent>
  <xr:revisionPtr revIDLastSave="0" documentId="13_ncr:1_{3965DE39-72DD-4636-B76E-68F8E7F0D02E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 " sheetId="6" r:id="rId4"/>
    <sheet name="Dashboard " sheetId="8" r:id="rId5"/>
  </sheets>
  <externalReferences>
    <externalReference r:id="rId6"/>
  </externalReferences>
  <definedNames>
    <definedName name="BData">Break!$A:$I</definedName>
    <definedName name="Break">Break!$A:$I</definedName>
    <definedName name="EData">Efficiency!$A:$Q</definedName>
    <definedName name="PData">'OverAll Performance'!$A:$J</definedName>
  </definedNames>
  <calcPr calcId="191029" iterateCount="1000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B2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3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2" i="6"/>
  <c r="A1" i="6"/>
</calcChain>
</file>

<file path=xl/sharedStrings.xml><?xml version="1.0" encoding="utf-8"?>
<sst xmlns="http://schemas.openxmlformats.org/spreadsheetml/2006/main" count="2448" uniqueCount="1015">
  <si>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</si>
  <si>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</si>
  <si>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</si>
  <si>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</si>
  <si>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</si>
  <si>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</si>
  <si>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</si>
  <si>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</si>
  <si>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</si>
  <si>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</si>
  <si>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</si>
  <si>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</si>
  <si>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</si>
  <si>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</si>
  <si>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</si>
  <si>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</si>
  <si>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</si>
  <si>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</si>
  <si>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</si>
  <si>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</si>
  <si>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</si>
  <si>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</si>
  <si>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</si>
  <si>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</si>
  <si>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</si>
  <si>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</si>
  <si>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</si>
  <si>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</si>
  <si>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</si>
  <si>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</si>
  <si>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</si>
  <si>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</si>
  <si>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</si>
  <si>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</si>
  <si>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</si>
  <si>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</si>
  <si>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</si>
  <si>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</si>
  <si>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</si>
  <si>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</si>
  <si>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</si>
  <si>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</si>
  <si>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</si>
  <si>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</si>
  <si>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</si>
  <si>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</si>
  <si>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</si>
  <si>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</si>
  <si>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</si>
  <si>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</si>
  <si>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</si>
  <si>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</si>
  <si>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</si>
  <si>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</si>
  <si>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</si>
  <si>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</si>
  <si>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</si>
  <si>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</si>
  <si>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</si>
  <si>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</si>
  <si>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</si>
  <si>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</si>
  <si>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</si>
  <si>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</si>
  <si>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</si>
  <si>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</si>
  <si>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</si>
  <si>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</si>
  <si>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</si>
  <si>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</si>
  <si>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</si>
  <si>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</si>
  <si>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</si>
  <si>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</si>
  <si>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</si>
  <si>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</si>
  <si>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</si>
  <si>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</si>
  <si>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</si>
  <si>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</si>
  <si>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</si>
  <si>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</si>
  <si>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</si>
  <si>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</si>
  <si>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</si>
  <si>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</si>
  <si>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</si>
  <si>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</si>
  <si>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</si>
  <si>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</si>
  <si>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</si>
  <si>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</si>
  <si>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</si>
  <si>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</si>
  <si>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</si>
  <si>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</si>
  <si>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</si>
  <si>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</si>
  <si>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</si>
  <si>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</si>
  <si>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</si>
  <si>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</si>
  <si>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</si>
  <si>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</si>
  <si>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</si>
  <si>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</si>
  <si>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</si>
  <si>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</si>
  <si>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</si>
  <si>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</si>
  <si>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</si>
  <si>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</si>
  <si>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</si>
  <si>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</si>
  <si>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</si>
  <si>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</si>
  <si>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</si>
  <si>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</si>
  <si>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</si>
  <si>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</si>
  <si>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</si>
  <si>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</si>
  <si>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</si>
  <si>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</si>
  <si>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</si>
  <si>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</si>
  <si>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</si>
  <si>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</si>
  <si>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</si>
  <si>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</si>
  <si>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</si>
  <si>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</si>
  <si>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</si>
  <si>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</si>
  <si>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</si>
  <si>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</si>
  <si>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</si>
  <si>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</si>
  <si>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</si>
  <si>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</si>
  <si>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</si>
  <si>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</si>
  <si>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</si>
  <si>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</si>
  <si>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</si>
  <si>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</si>
  <si>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</si>
  <si>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</si>
  <si>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</si>
  <si>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</si>
  <si>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</si>
  <si>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</si>
  <si>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</si>
  <si>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</si>
  <si>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</si>
  <si>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</si>
  <si>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</si>
  <si>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</si>
  <si>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</si>
  <si>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</si>
  <si>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</si>
  <si>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</si>
  <si>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</si>
  <si>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</si>
  <si>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</si>
  <si>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</si>
  <si>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</si>
  <si>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</si>
  <si>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</si>
  <si>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</si>
  <si>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</si>
  <si>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</si>
  <si>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</si>
  <si>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</si>
  <si>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</si>
  <si>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</si>
  <si>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</si>
  <si>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</si>
  <si>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</si>
  <si>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</si>
  <si>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</si>
  <si>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</si>
  <si>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</si>
  <si>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</si>
  <si>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</si>
  <si>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</si>
  <si>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</si>
  <si>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</si>
  <si>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</si>
  <si>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</si>
  <si>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</si>
  <si>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</si>
  <si>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</si>
  <si>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</si>
  <si>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</si>
  <si>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</si>
  <si>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</si>
  <si>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</si>
  <si>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</si>
  <si>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</si>
  <si>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</si>
  <si>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</si>
  <si>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</si>
  <si>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</si>
  <si>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</si>
  <si>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</si>
  <si>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</si>
  <si>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</si>
  <si>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</si>
  <si>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</si>
  <si>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</si>
  <si>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</si>
  <si>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</si>
  <si>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</si>
  <si>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</si>
  <si>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</si>
  <si>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</si>
  <si>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</si>
  <si>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</si>
  <si>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</si>
  <si>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</si>
  <si>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</si>
  <si>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</si>
  <si>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</si>
  <si>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</si>
  <si>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</si>
  <si>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</si>
  <si>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</si>
  <si>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</si>
  <si>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</si>
  <si>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</si>
  <si>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</si>
  <si>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</si>
  <si>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</si>
  <si>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</si>
  <si>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</si>
  <si>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</si>
  <si>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</si>
  <si>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</si>
  <si>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</si>
  <si>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</si>
  <si>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</si>
  <si>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</si>
  <si>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</si>
  <si>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</si>
  <si>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</si>
  <si>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</si>
  <si>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</si>
  <si>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</si>
  <si>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</si>
  <si>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</si>
  <si>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</si>
  <si>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</si>
  <si>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</si>
  <si>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</si>
  <si>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</si>
  <si>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</si>
  <si>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</si>
  <si>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</si>
  <si>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</si>
  <si>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</si>
  <si>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</si>
  <si>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</si>
  <si>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</si>
  <si>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</si>
  <si>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</si>
  <si>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</si>
  <si>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</si>
  <si>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</si>
  <si>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</si>
  <si>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</si>
  <si>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</si>
  <si>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</si>
  <si>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</si>
  <si>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</si>
  <si>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</si>
  <si>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</si>
  <si>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</si>
  <si>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</si>
  <si>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</si>
  <si>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</si>
  <si>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</si>
  <si>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</si>
  <si>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</si>
  <si>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</si>
  <si>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</si>
  <si>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</si>
  <si>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</si>
  <si>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</si>
  <si>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</si>
  <si>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</si>
  <si>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</si>
  <si>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</si>
  <si>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</si>
  <si>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</si>
  <si>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</si>
  <si>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</si>
  <si>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</si>
  <si>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</si>
  <si>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</si>
  <si>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</si>
  <si>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</si>
  <si>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</si>
  <si>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</si>
  <si>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</si>
  <si>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</si>
  <si>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</si>
  <si>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</si>
  <si>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</si>
  <si>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</si>
  <si>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</si>
  <si>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</si>
  <si>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</si>
  <si>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</si>
  <si>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</si>
  <si>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</si>
  <si>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</si>
  <si>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</si>
  <si>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</si>
  <si>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</si>
  <si>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</si>
  <si>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</si>
  <si>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</si>
  <si>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</si>
  <si>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</si>
  <si>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</si>
  <si>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</si>
  <si>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</si>
  <si>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</si>
  <si>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</si>
  <si>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</si>
  <si>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</si>
  <si>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</si>
  <si>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</si>
  <si>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</si>
  <si>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</si>
  <si>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</si>
  <si>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</si>
  <si>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</si>
  <si>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</si>
  <si>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</si>
  <si>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</si>
  <si>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</si>
  <si>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</si>
  <si>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</si>
  <si>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</si>
  <si>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</si>
  <si>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</si>
  <si>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</si>
  <si>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</si>
  <si>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</si>
  <si>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</si>
  <si>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</si>
  <si>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</si>
  <si>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</si>
  <si>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</si>
  <si>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</si>
  <si>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</si>
  <si>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</si>
  <si>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</si>
  <si>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</si>
  <si>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</si>
  <si>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</si>
  <si>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</si>
  <si>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</si>
  <si>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</si>
  <si>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</si>
  <si>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</si>
  <si>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</si>
  <si>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</si>
  <si>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</si>
  <si>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</si>
  <si>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</si>
  <si>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</si>
  <si>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</si>
  <si>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</si>
  <si>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</si>
  <si>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</si>
  <si>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</si>
  <si>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</si>
  <si>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</si>
  <si>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</si>
  <si>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</si>
  <si>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</si>
  <si>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</si>
  <si>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</si>
  <si>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</si>
  <si>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</si>
  <si>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</si>
  <si>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</si>
  <si>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</si>
  <si>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</si>
  <si>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</si>
  <si>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</si>
  <si>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</si>
  <si>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</si>
  <si>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</si>
  <si>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</si>
  <si>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</si>
  <si>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</si>
  <si>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</si>
  <si>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</si>
  <si>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</si>
  <si>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</si>
  <si>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</si>
  <si>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</si>
  <si>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</si>
  <si>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</si>
  <si>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</si>
  <si>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</si>
  <si>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</si>
  <si>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</si>
  <si>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</si>
  <si>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</si>
  <si>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</si>
  <si>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</si>
  <si>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</si>
  <si>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</si>
  <si>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</si>
  <si>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</si>
  <si>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</si>
  <si>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</si>
  <si>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</si>
  <si>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</si>
  <si>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</si>
  <si>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</si>
  <si>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</si>
  <si>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</si>
  <si>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</si>
  <si>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</si>
  <si>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</si>
  <si>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</si>
  <si>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</si>
  <si>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</si>
  <si>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</si>
  <si>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</si>
  <si>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</si>
  <si>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</si>
  <si>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</si>
  <si>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</si>
  <si>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</si>
  <si>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</si>
  <si>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</si>
  <si>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</si>
  <si>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</si>
  <si>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</si>
  <si>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</si>
  <si>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</si>
  <si>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</si>
  <si>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</si>
  <si>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</si>
  <si>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</si>
  <si>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</si>
  <si>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</si>
  <si>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</si>
  <si>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</si>
  <si>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</si>
  <si>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</si>
  <si>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</si>
  <si>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</si>
  <si>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</si>
  <si>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</si>
  <si>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</si>
  <si>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</si>
  <si>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</si>
  <si>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</si>
  <si>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</si>
  <si>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</si>
  <si>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</si>
  <si>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</si>
  <si>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</si>
  <si>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</si>
  <si>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</si>
  <si>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</si>
  <si>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</si>
  <si>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</si>
  <si>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</si>
  <si>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</si>
  <si>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</si>
  <si>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</si>
  <si>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</si>
  <si>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</si>
  <si>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</si>
  <si>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</si>
  <si>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</si>
  <si>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</si>
  <si>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</si>
  <si>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</si>
  <si>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</si>
  <si>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</si>
  <si>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</si>
  <si>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</si>
  <si>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</si>
  <si>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</si>
  <si>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</si>
  <si>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</si>
  <si>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</si>
  <si>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</si>
  <si>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</si>
  <si>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</si>
  <si>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</si>
  <si>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</si>
  <si>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</si>
  <si>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</si>
  <si>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</si>
  <si>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</si>
  <si>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</si>
  <si>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</si>
  <si>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</si>
  <si>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</si>
  <si>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</si>
  <si>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</si>
  <si>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</si>
  <si>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</si>
  <si>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</si>
  <si>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</si>
  <si>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</si>
  <si>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</si>
  <si>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</si>
  <si>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</si>
  <si>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</si>
  <si>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</si>
  <si>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</si>
  <si>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</si>
  <si>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</si>
  <si>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</si>
  <si>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</si>
  <si>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</si>
  <si>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</si>
  <si>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</si>
  <si>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</si>
  <si>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</si>
  <si>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</si>
  <si>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</si>
  <si>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</si>
  <si>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</si>
  <si>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</si>
  <si>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</si>
  <si>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</si>
  <si>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</si>
  <si>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</si>
  <si>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</si>
  <si>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</si>
  <si>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</si>
  <si>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</si>
  <si>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</si>
  <si>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</si>
  <si>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</si>
  <si>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</si>
  <si>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</si>
  <si>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</si>
  <si>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</si>
  <si>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</si>
  <si>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</si>
  <si>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</si>
  <si>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</si>
  <si>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</si>
  <si>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</si>
  <si>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</si>
  <si>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</si>
  <si>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</si>
  <si>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</si>
  <si>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</si>
  <si>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</si>
  <si>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</si>
  <si>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</si>
  <si>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</si>
  <si>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</si>
  <si>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</si>
  <si>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</si>
  <si>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</si>
  <si>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</si>
  <si>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</si>
  <si>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</si>
  <si>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</si>
  <si>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</si>
  <si>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</si>
  <si>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</si>
  <si>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</si>
  <si>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</si>
  <si>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</si>
  <si>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</si>
  <si>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</si>
  <si>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</si>
  <si>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</si>
  <si>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</si>
  <si>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</si>
  <si>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</si>
  <si>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</si>
  <si>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</si>
  <si>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</si>
  <si>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</si>
  <si>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</si>
  <si>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</si>
  <si>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</si>
  <si>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</si>
  <si>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</si>
  <si>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</si>
  <si>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</si>
  <si>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</si>
  <si>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</si>
  <si>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</si>
  <si>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</si>
  <si>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</si>
  <si>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</si>
  <si>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</si>
  <si>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</si>
  <si>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</si>
  <si>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</si>
  <si>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</si>
  <si>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</si>
  <si>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</si>
  <si>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</si>
  <si>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</si>
  <si>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</si>
  <si>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</si>
  <si>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</si>
  <si>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</si>
  <si>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</si>
  <si>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</si>
  <si>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</si>
  <si>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</si>
  <si>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</si>
  <si>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</si>
  <si>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</si>
  <si>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</si>
  <si>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</si>
  <si>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</si>
  <si>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</si>
  <si>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</si>
  <si>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</si>
  <si>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</si>
  <si>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</si>
  <si>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</si>
  <si>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</si>
  <si>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</si>
  <si>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</si>
  <si>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</si>
  <si>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</si>
  <si>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</si>
  <si>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</si>
  <si>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</si>
  <si>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</si>
  <si>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</si>
  <si>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</si>
  <si>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</si>
  <si>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</si>
  <si>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</si>
  <si>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</si>
  <si>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</si>
  <si>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</si>
  <si>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</si>
  <si>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</si>
  <si>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</si>
  <si>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</si>
  <si>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</si>
  <si>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</si>
  <si>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</si>
  <si>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</si>
  <si>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</si>
  <si>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</si>
  <si>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</si>
  <si>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</si>
  <si>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</si>
  <si>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</si>
  <si>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</si>
  <si>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</si>
  <si>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</si>
  <si>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</si>
  <si>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</si>
  <si>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</si>
  <si>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</si>
  <si>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</si>
  <si>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</si>
  <si>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</si>
  <si>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</si>
  <si>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</si>
  <si>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</si>
  <si>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</si>
  <si>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</si>
  <si>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</si>
  <si>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</si>
  <si>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</si>
  <si>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</si>
  <si>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</si>
  <si>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</si>
  <si>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</si>
  <si>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</si>
  <si>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</si>
  <si>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</si>
  <si>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</si>
  <si>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</si>
  <si>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</si>
  <si>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</si>
  <si>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</si>
  <si>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</si>
  <si>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</si>
  <si>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</si>
  <si>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</si>
  <si>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</si>
  <si>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</si>
  <si>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</si>
  <si>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</si>
  <si>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</si>
  <si>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</si>
  <si>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</si>
  <si>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</si>
  <si>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</si>
  <si>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</si>
  <si>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</si>
  <si>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</si>
  <si>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</si>
  <si>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</si>
  <si>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</si>
  <si>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</si>
  <si>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</si>
  <si>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</si>
  <si>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</si>
  <si>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</si>
  <si>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</si>
  <si>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</si>
  <si>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</si>
  <si>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</si>
  <si>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</si>
  <si>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</si>
  <si>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</si>
  <si>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</si>
  <si>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</si>
  <si>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</si>
  <si>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</si>
  <si>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</si>
  <si>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</si>
  <si>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</si>
  <si>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</si>
  <si>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</si>
  <si>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</si>
  <si>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</si>
  <si>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</si>
  <si>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</si>
  <si>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</si>
  <si>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</si>
  <si>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</si>
  <si>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</si>
  <si>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</si>
  <si>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</si>
  <si>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</si>
  <si>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</si>
  <si>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</si>
  <si>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</si>
  <si>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</si>
  <si>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</si>
  <si>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</si>
  <si>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</si>
  <si>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</si>
  <si>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</si>
  <si>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</si>
  <si>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</si>
  <si>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</si>
  <si>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</si>
  <si>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</si>
  <si>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</si>
  <si>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</si>
  <si>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</si>
  <si>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</si>
  <si>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</si>
  <si>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</si>
  <si>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</si>
  <si>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</si>
  <si>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</si>
  <si>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</si>
  <si>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</si>
  <si>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</si>
  <si>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</si>
  <si>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</si>
  <si>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</si>
  <si>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</si>
  <si>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</si>
  <si>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</si>
  <si>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</si>
  <si>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</si>
  <si>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</si>
  <si>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</si>
  <si>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</si>
  <si>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</si>
  <si>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</si>
  <si>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</si>
  <si>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</si>
  <si>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</si>
  <si>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</si>
  <si>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</si>
  <si>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</si>
  <si>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</si>
  <si>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</si>
  <si>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</si>
  <si>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</si>
  <si>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</si>
  <si>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</si>
  <si>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</si>
  <si>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</si>
  <si>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</si>
  <si>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</si>
  <si>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</si>
  <si>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</si>
  <si>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</si>
  <si>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</si>
  <si>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</si>
  <si>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</si>
  <si>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</si>
  <si>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</si>
  <si>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</si>
  <si>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</si>
  <si>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</si>
  <si>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</si>
  <si>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</si>
  <si>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</si>
  <si>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</si>
  <si>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</si>
  <si>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</si>
  <si>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</si>
  <si>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</si>
  <si>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</si>
  <si>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</si>
  <si>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</si>
  <si>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</si>
  <si>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</si>
  <si>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</si>
  <si>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</si>
  <si>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</si>
  <si>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</si>
  <si>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</si>
  <si>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</si>
  <si>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</si>
  <si>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</si>
  <si>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</si>
  <si>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</si>
  <si>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</si>
  <si>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</si>
  <si>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</si>
  <si>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</si>
  <si>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</si>
  <si>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</si>
  <si>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</si>
  <si>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</si>
  <si>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</si>
  <si>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</si>
  <si>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</si>
  <si>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</si>
  <si>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</si>
  <si>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</si>
  <si>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</si>
  <si>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</si>
  <si>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</si>
  <si>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</si>
  <si>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</si>
  <si>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</si>
  <si>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</si>
  <si>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</si>
  <si>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</si>
  <si>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</si>
  <si>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</si>
  <si>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</si>
  <si>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</si>
  <si>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</si>
  <si>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</si>
  <si>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</si>
  <si>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</si>
  <si>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</si>
  <si>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</si>
  <si>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</si>
  <si>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</si>
  <si>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</si>
  <si>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</si>
  <si>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</si>
  <si>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</si>
  <si>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</si>
  <si>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</si>
  <si>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</si>
  <si>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</si>
  <si>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</si>
  <si>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</si>
  <si>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</si>
  <si>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</si>
  <si>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</si>
  <si>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</si>
  <si>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</si>
  <si>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</si>
  <si>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</si>
  <si>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</si>
  <si>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</si>
  <si>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</si>
  <si>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</si>
  <si>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</si>
  <si>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</si>
  <si>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</si>
  <si>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</si>
  <si>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</si>
  <si>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</si>
  <si>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</si>
  <si>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</si>
  <si>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</si>
  <si>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</si>
  <si>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</si>
  <si>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</si>
  <si>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</si>
  <si>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</si>
  <si>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</si>
  <si>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</si>
  <si>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</si>
  <si>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</si>
  <si>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</si>
  <si>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</si>
  <si>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</si>
  <si>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</si>
  <si>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</si>
  <si>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</si>
  <si>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</si>
  <si>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</si>
  <si>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</si>
  <si>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</si>
  <si>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</si>
  <si>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</si>
  <si>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</si>
  <si>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</si>
  <si>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</si>
  <si>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</si>
  <si>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</si>
  <si>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</si>
  <si>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</si>
  <si>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</si>
  <si>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</si>
  <si>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</si>
  <si>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</si>
  <si>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</si>
  <si>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</si>
  <si>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</si>
  <si>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</si>
  <si>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</si>
  <si>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</si>
  <si>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</si>
  <si>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</si>
  <si>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</si>
  <si>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</si>
  <si>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</si>
  <si>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</si>
  <si>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</si>
  <si>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</si>
  <si>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</si>
  <si>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</si>
  <si>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</si>
  <si>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</si>
  <si>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</si>
  <si>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</si>
  <si>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</si>
  <si>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</si>
  <si>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</si>
  <si>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</si>
  <si>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</si>
  <si>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</si>
  <si>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</si>
  <si>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</si>
  <si>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</si>
  <si>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</si>
  <si>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</si>
  <si>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</si>
  <si>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</si>
  <si>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</si>
  <si>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</si>
  <si>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</si>
  <si>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</si>
  <si>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</si>
  <si>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</si>
  <si>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</si>
  <si>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</si>
  <si>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</si>
  <si>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</si>
  <si>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</si>
  <si>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</si>
  <si>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</si>
  <si>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</si>
  <si>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</si>
  <si>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</si>
  <si>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</si>
  <si>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</si>
  <si>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</si>
  <si>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</si>
  <si>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</si>
  <si>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</si>
  <si>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</si>
  <si>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</si>
  <si>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</si>
  <si>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</si>
  <si>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</si>
  <si>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</si>
  <si>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</si>
  <si>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</si>
  <si>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</si>
  <si>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</si>
  <si>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</si>
  <si>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</si>
  <si>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</si>
  <si>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</si>
  <si>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</si>
  <si>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</si>
  <si>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</si>
  <si>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</si>
  <si>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</si>
  <si>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</si>
  <si>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</si>
  <si>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</si>
  <si>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</si>
  <si>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</si>
  <si>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</si>
  <si>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>Anjali Deoram</t>
  </si>
  <si>
    <t>Sheena Joseph</t>
  </si>
  <si>
    <t>Tahira Qureshi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</si>
</sst>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[$-14009]hh\.mm\.ss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4"/>
      <color theme="1"/>
      <name val="Algerian"/>
      <family val="5"/>
    </font>
    <font>
      <sz val="11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10" fontId="0" fillId="0" borderId="0" xfId="0" applyNumberFormat="1"/>
    <xf numFmtId="10" fontId="0" fillId="0" borderId="0" xfId="1" applyNumberFormat="1" applyFont="1"/>
    <xf numFmtId="166" fontId="0" fillId="0" borderId="0" xfId="0" applyNumberFormat="1"/>
    <xf numFmtId="0" fontId="0" fillId="4" borderId="0" xfId="0" applyFill="1"/>
    <xf numFmtId="0" fontId="8" fillId="5" borderId="0" xfId="0" applyFont="1" applyFill="1" applyAlignment="1">
      <alignment horizontal="center" vertical="center"/>
    </xf>
    <xf numFmtId="0" fontId="9" fillId="6" borderId="0" xfId="0" applyFont="1" applyFill="1"/>
  </cellXfs>
  <cellStyles count="2">
    <cellStyle name="Normal" xfId="0" builtinId="0"/>
    <cellStyle name="Percent" xfId="1" builtinId="5"/>
  </cellStyles>
  <dxfs count="3">
    <dxf>
      <numFmt numFmtId="166" formatCode="[$-14009]hh\.mm\.ss;@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 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gradFill flip="none" rotWithShape="1">
                <a:gsLst>
                  <a:gs pos="0">
                    <a:schemeClr val="dk1">
                      <a:lumMod val="67000"/>
                    </a:schemeClr>
                  </a:gs>
                  <a:gs pos="48000">
                    <a:schemeClr val="dk1">
                      <a:lumMod val="97000"/>
                      <a:lumOff val="3000"/>
                    </a:schemeClr>
                  </a:gs>
                  <a:gs pos="100000">
                    <a:schemeClr val="dk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'!$A$5:$A$12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'Dashboard '!$B$5:$B$12</c:f>
              <c:numCache>
                <c:formatCode>[$-14009]hh\.mm\.ss;@</c:formatCode>
                <c:ptCount val="8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4-4A14-967B-4FBF3B2F57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73524656"/>
        <c:axId val="2073525616"/>
      </c:barChart>
      <c:catAx>
        <c:axId val="207352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525616"/>
        <c:crosses val="autoZero"/>
        <c:auto val="1"/>
        <c:lblAlgn val="ctr"/>
        <c:lblOffset val="100"/>
        <c:noMultiLvlLbl val="0"/>
      </c:catAx>
      <c:valAx>
        <c:axId val="2073525616"/>
        <c:scaling>
          <c:orientation val="minMax"/>
        </c:scaling>
        <c:delete val="1"/>
        <c:axPos val="l"/>
        <c:numFmt formatCode="[$-14009]hh\.mm\.ss;@" sourceLinked="1"/>
        <c:majorTickMark val="none"/>
        <c:minorTickMark val="none"/>
        <c:tickLblPos val="nextTo"/>
        <c:crossAx val="20735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 !PivotTable1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'Dashboard '!$F$4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1C-4AEE-B291-ADC1FC07F7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1C-4AEE-B291-ADC1FC07F7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1C-4AEE-B291-ADC1FC07F77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1C-4AEE-B291-ADC1FC07F77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1C-4AEE-B291-ADC1FC07F77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61C-4AEE-B291-ADC1FC07F77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61C-4AEE-B291-ADC1FC07F77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61C-4AEE-B291-ADC1FC07F77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61C-4AEE-B291-ADC1FC07F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61C-4AEE-B291-ADC1FC07F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61C-4AEE-B291-ADC1FC07F77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61C-4AEE-B291-ADC1FC07F775}"/>
              </c:ext>
            </c:extLst>
          </c:dPt>
          <c:cat>
            <c:strRef>
              <c:f>'Dashboard '!$E$5:$E$9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'Dashboard '!$F$5:$F$9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3-4216-AAD7-F8703C919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50" min="1" page="10" val="8"/>
</file>

<file path=xl/ctrlProps/ctrlProp2.xml><?xml version="1.0" encoding="utf-8"?>
<formControlPr xmlns="http://schemas.microsoft.com/office/spreadsheetml/2009/9/main" objectType="Spin" dx="26" fmlaLink="$C$1" max="250" min="1" page="10" val="8"/>
</file>

<file path=xl/ctrlProps/ctrlProp3.xml><?xml version="1.0" encoding="utf-8"?>
<formControlPr xmlns="http://schemas.microsoft.com/office/spreadsheetml/2009/9/main" objectType="Spin" dx="26" fmlaLink="$C$2" max="250" min="1" page="10" val="5"/>
</file>

<file path=xl/ctrlProps/ctrlProp4.xml><?xml version="1.0" encoding="utf-8"?>
<formControlPr xmlns="http://schemas.microsoft.com/office/spreadsheetml/2009/9/main" objectType="Spin" dx="26" fmlaLink="$C$2" max="25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896816</xdr:colOff>
      <xdr:row>0</xdr:row>
      <xdr:rowOff>134815</xdr:rowOff>
    </xdr:from>
    <xdr:to>
      <xdr:col>5</xdr:col>
      <xdr:colOff>1453110</xdr:colOff>
      <xdr:row>1</xdr:row>
      <xdr:rowOff>399507</xdr:rowOff>
    </xdr:to>
    <xdr:sp macro="[0]!Spinner3_Code" textlink="$C$2">
      <xdr:nvSpPr>
        <xdr:cNvPr id="17" name="Rectangle: Rounded Corners 16">
          <a:extLst>
            <a:ext uri="{FF2B5EF4-FFF2-40B4-BE49-F238E27FC236}">
              <a16:creationId xmlns:a16="http://schemas.microsoft.com/office/drawing/2014/main" id="{3ECF6C0D-53B3-4FEF-A9AD-32D8D0EB318E}"/>
            </a:ext>
          </a:extLst>
        </xdr:cNvPr>
        <xdr:cNvSpPr/>
      </xdr:nvSpPr>
      <xdr:spPr>
        <a:xfrm>
          <a:off x="6518031" y="134815"/>
          <a:ext cx="556294" cy="463984"/>
        </a:xfrm>
        <a:prstGeom prst="round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  <a:effectLst>
          <a:softEdge rad="508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180000" rtlCol="0" anchor="ctr"/>
        <a:lstStyle/>
        <a:p>
          <a:pPr marL="0" indent="0" algn="r"/>
          <a:fld id="{1C5C3751-E3AB-4764-A3A8-0DEF067945AC}" type="TxLink">
            <a:rPr lang="en-US" sz="1400" b="1" i="0" u="none" strike="noStrike">
              <a:solidFill>
                <a:srgbClr val="000000"/>
              </a:solidFill>
              <a:latin typeface="Comic Sans MS"/>
              <a:ea typeface="Calibri"/>
              <a:cs typeface="Calibri"/>
            </a:rPr>
            <a:pPr marL="0" indent="0" algn="r"/>
            <a:t>5</a:t>
          </a:fld>
          <a:endParaRPr lang="en-US" sz="1400" b="1" i="0" u="none" strike="noStrike">
            <a:solidFill>
              <a:srgbClr val="000000"/>
            </a:solidFill>
            <a:latin typeface="Comic Sans MS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896816</xdr:colOff>
      <xdr:row>0</xdr:row>
      <xdr:rowOff>123093</xdr:rowOff>
    </xdr:from>
    <xdr:to>
      <xdr:col>1</xdr:col>
      <xdr:colOff>1453110</xdr:colOff>
      <xdr:row>1</xdr:row>
      <xdr:rowOff>387785</xdr:rowOff>
    </xdr:to>
    <xdr:sp macro="" textlink="$C$1">
      <xdr:nvSpPr>
        <xdr:cNvPr id="12" name="Rectangle: Rounded Corners 11">
          <a:extLst>
            <a:ext uri="{FF2B5EF4-FFF2-40B4-BE49-F238E27FC236}">
              <a16:creationId xmlns:a16="http://schemas.microsoft.com/office/drawing/2014/main" id="{4AB03D41-4D7B-0437-2840-0304389930D6}"/>
            </a:ext>
          </a:extLst>
        </xdr:cNvPr>
        <xdr:cNvSpPr/>
      </xdr:nvSpPr>
      <xdr:spPr>
        <a:xfrm>
          <a:off x="1828801" y="123093"/>
          <a:ext cx="556294" cy="446400"/>
        </a:xfrm>
        <a:prstGeom prst="round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  <a:effectLst>
          <a:softEdge rad="508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180000" rtlCol="0" anchor="ctr"/>
        <a:lstStyle/>
        <a:p>
          <a:pPr algn="r"/>
          <a:fld id="{0817FC6E-C184-4112-AF53-AE05EC794826}" type="TxLink">
            <a:rPr lang="en-US" sz="1400" b="1" i="0" u="none" strike="noStrike">
              <a:solidFill>
                <a:srgbClr val="000000"/>
              </a:solidFill>
              <a:latin typeface="Comic Sans MS"/>
              <a:ea typeface="Calibri"/>
              <a:cs typeface="Calibri"/>
            </a:rPr>
            <a:t>8</a:t>
          </a:fld>
          <a:endParaRPr lang="en-US" sz="24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0</xdr:col>
      <xdr:colOff>87925</xdr:colOff>
      <xdr:row>9</xdr:row>
      <xdr:rowOff>46893</xdr:rowOff>
    </xdr:from>
    <xdr:to>
      <xdr:col>2</xdr:col>
      <xdr:colOff>105509</xdr:colOff>
      <xdr:row>21</xdr:row>
      <xdr:rowOff>29306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76528A-ABA8-BE3B-93EB-7F927920AE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99647</xdr:rowOff>
    </xdr:from>
    <xdr:to>
      <xdr:col>1</xdr:col>
      <xdr:colOff>70338</xdr:colOff>
      <xdr:row>1</xdr:row>
      <xdr:rowOff>422031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8E533B9-E6A7-2B90-4826-3B318034D874}"/>
            </a:ext>
          </a:extLst>
        </xdr:cNvPr>
        <xdr:cNvSpPr/>
      </xdr:nvSpPr>
      <xdr:spPr>
        <a:xfrm>
          <a:off x="0" y="99647"/>
          <a:ext cx="1002323" cy="504092"/>
        </a:xfrm>
        <a:prstGeom prst="rightArrow">
          <a:avLst>
            <a:gd name="adj1" fmla="val 50000"/>
            <a:gd name="adj2" fmla="val 150000"/>
          </a:avLst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CHART</a:t>
          </a:r>
        </a:p>
      </xdr:txBody>
    </xdr:sp>
    <xdr:clientData/>
  </xdr:twoCellAnchor>
  <xdr:twoCellAnchor editAs="oneCell">
    <xdr:from>
      <xdr:col>1</xdr:col>
      <xdr:colOff>105508</xdr:colOff>
      <xdr:row>1</xdr:row>
      <xdr:rowOff>33123</xdr:rowOff>
    </xdr:from>
    <xdr:to>
      <xdr:col>1</xdr:col>
      <xdr:colOff>539261</xdr:colOff>
      <xdr:row>1</xdr:row>
      <xdr:rowOff>304799</xdr:rowOff>
    </xdr:to>
    <xdr:pic macro="[0]!Module2.Hide_Chart1">
      <xdr:nvPicPr>
        <xdr:cNvPr id="9" name="Picture 8">
          <a:extLst>
            <a:ext uri="{FF2B5EF4-FFF2-40B4-BE49-F238E27FC236}">
              <a16:creationId xmlns:a16="http://schemas.microsoft.com/office/drawing/2014/main" id="{85D30906-22ED-8455-BCFA-CE07A0ABD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493" y="214831"/>
          <a:ext cx="433753" cy="27167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99646</xdr:colOff>
      <xdr:row>1</xdr:row>
      <xdr:rowOff>35168</xdr:rowOff>
    </xdr:from>
    <xdr:to>
      <xdr:col>1</xdr:col>
      <xdr:colOff>545121</xdr:colOff>
      <xdr:row>1</xdr:row>
      <xdr:rowOff>304798</xdr:rowOff>
    </xdr:to>
    <xdr:pic macro="[0]!Module2.Show_Chart1">
      <xdr:nvPicPr>
        <xdr:cNvPr id="11" name="Picture 10" hidden="1">
          <a:extLst>
            <a:ext uri="{FF2B5EF4-FFF2-40B4-BE49-F238E27FC236}">
              <a16:creationId xmlns:a16="http://schemas.microsoft.com/office/drawing/2014/main" id="{EF2E911F-6BD4-FCEE-C4D3-AE8710A38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631" y="216876"/>
          <a:ext cx="445475" cy="26963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0</xdr:row>
          <xdr:rowOff>152400</xdr:rowOff>
        </xdr:from>
        <xdr:to>
          <xdr:col>1</xdr:col>
          <xdr:colOff>998220</xdr:colOff>
          <xdr:row>1</xdr:row>
          <xdr:rowOff>396240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1459511</xdr:colOff>
      <xdr:row>0</xdr:row>
      <xdr:rowOff>123091</xdr:rowOff>
    </xdr:from>
    <xdr:to>
      <xdr:col>1</xdr:col>
      <xdr:colOff>2502876</xdr:colOff>
      <xdr:row>1</xdr:row>
      <xdr:rowOff>410308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A72EDDA1-F9A2-4C59-9BA5-FE13E00C3D37}"/>
            </a:ext>
          </a:extLst>
        </xdr:cNvPr>
        <xdr:cNvSpPr/>
      </xdr:nvSpPr>
      <xdr:spPr>
        <a:xfrm flipH="1">
          <a:off x="2391496" y="123091"/>
          <a:ext cx="1043365" cy="468925"/>
        </a:xfrm>
        <a:prstGeom prst="rightArrow">
          <a:avLst>
            <a:gd name="adj1" fmla="val 50000"/>
            <a:gd name="adj2" fmla="val 150000"/>
          </a:avLst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RECORDS</a:t>
          </a:r>
          <a:endParaRPr lang="en-US" sz="11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2377440</xdr:colOff>
          <xdr:row>9</xdr:row>
          <xdr:rowOff>106680</xdr:rowOff>
        </xdr:from>
        <xdr:to>
          <xdr:col>2</xdr:col>
          <xdr:colOff>38100</xdr:colOff>
          <xdr:row>11</xdr:row>
          <xdr:rowOff>175260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0</xdr:colOff>
      <xdr:row>0</xdr:row>
      <xdr:rowOff>99647</xdr:rowOff>
    </xdr:from>
    <xdr:to>
      <xdr:col>5</xdr:col>
      <xdr:colOff>70338</xdr:colOff>
      <xdr:row>1</xdr:row>
      <xdr:rowOff>422031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1E6CF3EE-7F33-40A0-95D7-12F21FE8BEFF}"/>
            </a:ext>
          </a:extLst>
        </xdr:cNvPr>
        <xdr:cNvSpPr/>
      </xdr:nvSpPr>
      <xdr:spPr>
        <a:xfrm>
          <a:off x="0" y="99647"/>
          <a:ext cx="1002323" cy="504092"/>
        </a:xfrm>
        <a:prstGeom prst="rightArrow">
          <a:avLst>
            <a:gd name="adj1" fmla="val 50000"/>
            <a:gd name="adj2" fmla="val 150000"/>
          </a:avLst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CHART</a:t>
          </a:r>
        </a:p>
      </xdr:txBody>
    </xdr:sp>
    <xdr:clientData/>
  </xdr:twoCellAnchor>
  <xdr:oneCellAnchor>
    <xdr:from>
      <xdr:col>5</xdr:col>
      <xdr:colOff>105508</xdr:colOff>
      <xdr:row>1</xdr:row>
      <xdr:rowOff>33123</xdr:rowOff>
    </xdr:from>
    <xdr:ext cx="433753" cy="271676"/>
    <xdr:pic macro="[0]!Hide_Chart12">
      <xdr:nvPicPr>
        <xdr:cNvPr id="6" name="Picture 5">
          <a:extLst>
            <a:ext uri="{FF2B5EF4-FFF2-40B4-BE49-F238E27FC236}">
              <a16:creationId xmlns:a16="http://schemas.microsoft.com/office/drawing/2014/main" id="{9230A4EF-52F1-435B-A8E1-EA387C835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493" y="214831"/>
          <a:ext cx="433753" cy="27167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5</xdr:col>
      <xdr:colOff>99646</xdr:colOff>
      <xdr:row>1</xdr:row>
      <xdr:rowOff>35168</xdr:rowOff>
    </xdr:from>
    <xdr:ext cx="445475" cy="269630"/>
    <xdr:pic macro="[0]!Module2.Show_Chart1">
      <xdr:nvPicPr>
        <xdr:cNvPr id="7" name="Picture 6" hidden="1">
          <a:extLst>
            <a:ext uri="{FF2B5EF4-FFF2-40B4-BE49-F238E27FC236}">
              <a16:creationId xmlns:a16="http://schemas.microsoft.com/office/drawing/2014/main" id="{FB86D748-4360-4F62-A1AC-1F46C5F88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631" y="216876"/>
          <a:ext cx="445475" cy="26963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792480</xdr:colOff>
          <xdr:row>0</xdr:row>
          <xdr:rowOff>144780</xdr:rowOff>
        </xdr:from>
        <xdr:to>
          <xdr:col>5</xdr:col>
          <xdr:colOff>990600</xdr:colOff>
          <xdr:row>1</xdr:row>
          <xdr:rowOff>388620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1436069</xdr:colOff>
      <xdr:row>0</xdr:row>
      <xdr:rowOff>117229</xdr:rowOff>
    </xdr:from>
    <xdr:to>
      <xdr:col>5</xdr:col>
      <xdr:colOff>2491155</xdr:colOff>
      <xdr:row>1</xdr:row>
      <xdr:rowOff>369276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21DF6046-DB5E-42B7-8454-604E9BE712FD}"/>
            </a:ext>
          </a:extLst>
        </xdr:cNvPr>
        <xdr:cNvSpPr/>
      </xdr:nvSpPr>
      <xdr:spPr>
        <a:xfrm flipH="1">
          <a:off x="7057284" y="117229"/>
          <a:ext cx="1055086" cy="433755"/>
        </a:xfrm>
        <a:prstGeom prst="rightArrow">
          <a:avLst>
            <a:gd name="adj1" fmla="val 50000"/>
            <a:gd name="adj2" fmla="val 150000"/>
          </a:avLst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RECORDS</a:t>
          </a:r>
          <a:endParaRPr lang="en-US" sz="11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 editAs="oneCell">
    <xdr:from>
      <xdr:col>5</xdr:col>
      <xdr:colOff>105509</xdr:colOff>
      <xdr:row>1</xdr:row>
      <xdr:rowOff>35169</xdr:rowOff>
    </xdr:from>
    <xdr:to>
      <xdr:col>5</xdr:col>
      <xdr:colOff>550984</xdr:colOff>
      <xdr:row>1</xdr:row>
      <xdr:rowOff>304799</xdr:rowOff>
    </xdr:to>
    <xdr:pic macro="[0]!Show_Chart12">
      <xdr:nvPicPr>
        <xdr:cNvPr id="10" name="Picture 9" hidden="1">
          <a:extLst>
            <a:ext uri="{FF2B5EF4-FFF2-40B4-BE49-F238E27FC236}">
              <a16:creationId xmlns:a16="http://schemas.microsoft.com/office/drawing/2014/main" id="{5E1210CD-535F-4863-A485-CBEEE3124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6724" y="216877"/>
          <a:ext cx="445475" cy="26963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4</xdr:col>
      <xdr:colOff>23445</xdr:colOff>
      <xdr:row>10</xdr:row>
      <xdr:rowOff>164123</xdr:rowOff>
    </xdr:from>
    <xdr:to>
      <xdr:col>5</xdr:col>
      <xdr:colOff>1969478</xdr:colOff>
      <xdr:row>19</xdr:row>
      <xdr:rowOff>111368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F6B02E8-9206-0A7F-7B26-E84C6257A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1699260</xdr:colOff>
          <xdr:row>11</xdr:row>
          <xdr:rowOff>30480</xdr:rowOff>
        </xdr:from>
        <xdr:to>
          <xdr:col>5</xdr:col>
          <xdr:colOff>1897380</xdr:colOff>
          <xdr:row>13</xdr:row>
          <xdr:rowOff>91440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mal javalkar" refreshedDate="46084.660321875002" createdVersion="8" refreshedVersion="8" minRefreshableVersion="3" recordCount="149" xr:uid="{0684F905-B916-41C1-8CA7-99CB6621DF44}">
  <cacheSource type="worksheet">
    <worksheetSource ref="A1:G150" sheet="Summary 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4AD78-BA2D-4037-83D9-D10F091F3854}" name="PivotTable2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12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10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Emp Total Number of woking hours." fld="2" baseField="1" baseItem="15" numFmtId="166"/>
  </dataFields>
  <formats count="1">
    <format dxfId="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19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B70E83-025C-4748-9390-BB776528BD55}" name="PivotTable1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5">
  <location ref="E4:F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10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2">
    <format dxfId="2">
      <pivotArea collapsedLevelsAreSubtotals="1" fieldPosition="0">
        <references count="1">
          <reference field="1" count="1">
            <x v="0"/>
          </reference>
        </references>
      </pivotArea>
    </format>
    <format dxfId="1">
      <pivotArea outline="0" collapsedLevelsAreSubtotals="1" fieldPosition="0"/>
    </format>
  </formats>
  <chartFormats count="1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0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C2" sqref="C2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sqref="A1:Q1048576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sqref="A1:J1048576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6CDA-6CF2-4B8F-AF2F-07C175F19D9F}">
  <sheetPr codeName="Sheet6"/>
  <dimension ref="A1:G150"/>
  <sheetViews>
    <sheetView zoomScale="150" zoomScaleNormal="150" workbookViewId="0">
      <selection activeCell="A2" sqref="A1:G150"/>
    </sheetView>
  </sheetViews>
  <sheetFormatPr defaultRowHeight="14.4" x14ac:dyDescent="0.3"/>
  <cols>
    <col min="1" max="1" width="33.44140625" bestFit="1" customWidth="1"/>
    <col min="2" max="2" width="20" bestFit="1" customWidth="1"/>
    <col min="3" max="3" width="27.33203125" bestFit="1" customWidth="1"/>
    <col min="4" max="4" width="12.6640625" bestFit="1" customWidth="1"/>
    <col min="5" max="5" width="14.44140625" bestFit="1" customWidth="1"/>
    <col min="6" max="6" width="11.6640625" bestFit="1" customWidth="1"/>
    <col min="7" max="7" width="13.77734375" bestFit="1" customWidth="1"/>
  </cols>
  <sheetData>
    <row r="1" spans="1:7" x14ac:dyDescent="0.3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>TIMEVALUE(VLOOKUP(A2,EData,2,0))</f>
        <v>0.34424768518518517</v>
      </c>
      <c r="D2" s="12">
        <f t="shared" ref="D2:D33" si="0">TIMEVALUE(VLOOKUP(A2,EData,3,0))</f>
        <v>0.20693287037037036</v>
      </c>
      <c r="E2" s="12">
        <f t="shared" ref="E2:E33" si="1">TIMEVALUE(VLOOKUP(A2,BData,9,0))</f>
        <v>4.7708333333333332E-2</v>
      </c>
      <c r="F2">
        <f t="shared" ref="F2:F33" si="2">VLOOKUP(A2,PData,2,0)</f>
        <v>98</v>
      </c>
      <c r="G2" s="17">
        <f t="shared" ref="G2:G33" si="3">VLOOKUP(A2,EData,6,0)</f>
        <v>0.55697138822580095</v>
      </c>
    </row>
    <row r="3" spans="1:7" x14ac:dyDescent="0.3">
      <c r="A3" t="str">
        <f>Break!A3</f>
        <v>Mum_Afzal Husain (1008513)</v>
      </c>
      <c r="B3" t="str">
        <f>MID(A3,FIND("_",A3,1)+1,FIND("(",A3,1)-FIND("_",A3,1)-2)</f>
        <v>Afzal Husain</v>
      </c>
      <c r="C3" s="12">
        <f t="shared" ref="C3:C33" si="4">TIMEVALUE(VLOOKUP(A3,EData,2,0))</f>
        <v>0.34416666666666668</v>
      </c>
      <c r="D3" s="12">
        <f t="shared" si="0"/>
        <v>0.20733796296296297</v>
      </c>
      <c r="E3" s="12">
        <f t="shared" si="1"/>
        <v>4.8599537037037038E-2</v>
      </c>
      <c r="F3">
        <f t="shared" si="2"/>
        <v>23</v>
      </c>
      <c r="G3" s="17">
        <f t="shared" si="3"/>
        <v>0.58027306967984904</v>
      </c>
    </row>
    <row r="4" spans="1:7" x14ac:dyDescent="0.3">
      <c r="A4" t="str">
        <f>Break!A4</f>
        <v>Mum_Anamika Gupta (1008514)</v>
      </c>
      <c r="B4" t="str">
        <f t="shared" ref="B4:B67" si="5">MID(A4,FIND("_",A4,1)+1,FIND("(",A4,1)-FIND("_",A4,1)-2)</f>
        <v>Anamika Gupta</v>
      </c>
      <c r="C4" s="12">
        <f t="shared" si="4"/>
        <v>0.34510416666666666</v>
      </c>
      <c r="D4" s="12">
        <f t="shared" si="0"/>
        <v>0.20109953703703703</v>
      </c>
      <c r="E4" s="12">
        <f t="shared" si="1"/>
        <v>5.1319444444444445E-2</v>
      </c>
      <c r="F4">
        <f t="shared" si="2"/>
        <v>28</v>
      </c>
      <c r="G4" s="17">
        <f t="shared" si="3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2">
        <f t="shared" si="4"/>
        <v>0.34023148148148147</v>
      </c>
      <c r="D5" s="12">
        <f t="shared" si="0"/>
        <v>0.17884259259259258</v>
      </c>
      <c r="E5" s="12">
        <f t="shared" si="1"/>
        <v>9.6550925925925929E-2</v>
      </c>
      <c r="F5">
        <f t="shared" si="2"/>
        <v>29</v>
      </c>
      <c r="G5" s="17">
        <f t="shared" si="3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2">
        <f t="shared" si="4"/>
        <v>0.30603009259259262</v>
      </c>
      <c r="D6" s="12">
        <f t="shared" si="0"/>
        <v>0.13870370370370369</v>
      </c>
      <c r="E6" s="12">
        <f t="shared" si="1"/>
        <v>0.12844907407407408</v>
      </c>
      <c r="F6">
        <f t="shared" si="2"/>
        <v>93</v>
      </c>
      <c r="G6" s="17">
        <f t="shared" si="3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2">
        <f t="shared" si="4"/>
        <v>0.2084375</v>
      </c>
      <c r="D7" s="12">
        <f t="shared" si="0"/>
        <v>0.15369212962962964</v>
      </c>
      <c r="E7" s="12">
        <f t="shared" si="1"/>
        <v>1.8831018518518518E-2</v>
      </c>
      <c r="F7">
        <f t="shared" si="2"/>
        <v>92</v>
      </c>
      <c r="G7" s="17">
        <f t="shared" si="3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2">
        <f t="shared" si="4"/>
        <v>0.34488425925925925</v>
      </c>
      <c r="D8" s="12">
        <f t="shared" si="0"/>
        <v>0.17553240740740741</v>
      </c>
      <c r="E8" s="12">
        <f t="shared" si="1"/>
        <v>0.11229166666666666</v>
      </c>
      <c r="F8">
        <f t="shared" si="2"/>
        <v>26</v>
      </c>
      <c r="G8" s="17">
        <f t="shared" si="3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2">
        <f t="shared" si="4"/>
        <v>0.38646990740740739</v>
      </c>
      <c r="D9" s="12">
        <f t="shared" si="0"/>
        <v>0.24453703703703702</v>
      </c>
      <c r="E9" s="12">
        <f t="shared" si="1"/>
        <v>5.0810185185185187E-2</v>
      </c>
      <c r="F9">
        <f t="shared" si="2"/>
        <v>90</v>
      </c>
      <c r="G9" s="17">
        <f t="shared" si="3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2">
        <f t="shared" si="4"/>
        <v>0.34256944444444443</v>
      </c>
      <c r="D10" s="12">
        <f t="shared" si="0"/>
        <v>0.20311342592592593</v>
      </c>
      <c r="E10" s="12">
        <f t="shared" si="1"/>
        <v>4.628472222222222E-2</v>
      </c>
      <c r="F10">
        <f t="shared" si="2"/>
        <v>89</v>
      </c>
      <c r="G10" s="17">
        <f t="shared" si="3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2">
        <f t="shared" si="4"/>
        <v>0.34769675925925925</v>
      </c>
      <c r="D11" s="12">
        <f t="shared" si="0"/>
        <v>0.20702546296296295</v>
      </c>
      <c r="E11" s="12">
        <f t="shared" si="1"/>
        <v>4.8576388888888891E-2</v>
      </c>
      <c r="F11">
        <f t="shared" si="2"/>
        <v>54</v>
      </c>
      <c r="G11" s="17">
        <f t="shared" si="3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2">
        <f t="shared" si="4"/>
        <v>0.34068287037037037</v>
      </c>
      <c r="D12" s="12">
        <f t="shared" si="0"/>
        <v>0.20518518518518519</v>
      </c>
      <c r="E12" s="12">
        <f t="shared" si="1"/>
        <v>4.809027777777778E-2</v>
      </c>
      <c r="F12">
        <f t="shared" si="2"/>
        <v>87</v>
      </c>
      <c r="G12" s="17">
        <f t="shared" si="3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2">
        <f t="shared" si="4"/>
        <v>0.33622685185185186</v>
      </c>
      <c r="D13" s="12">
        <f t="shared" si="0"/>
        <v>0.15812499999999999</v>
      </c>
      <c r="E13" s="12">
        <f t="shared" si="1"/>
        <v>0.12590277777777778</v>
      </c>
      <c r="F13">
        <f t="shared" si="2"/>
        <v>65</v>
      </c>
      <c r="G13" s="17">
        <f t="shared" si="3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2">
        <f t="shared" si="4"/>
        <v>0.34349537037037037</v>
      </c>
      <c r="D14" s="12">
        <f t="shared" si="0"/>
        <v>0.19699074074074074</v>
      </c>
      <c r="E14" s="12">
        <f t="shared" si="1"/>
        <v>8.7974537037037032E-2</v>
      </c>
      <c r="F14">
        <f t="shared" si="2"/>
        <v>85</v>
      </c>
      <c r="G14" s="17">
        <f t="shared" si="3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2">
        <f t="shared" si="4"/>
        <v>0.33321759259259259</v>
      </c>
      <c r="D15" s="12">
        <f t="shared" si="0"/>
        <v>0.19475694444444444</v>
      </c>
      <c r="E15" s="12">
        <f t="shared" si="1"/>
        <v>4.9004629629629627E-2</v>
      </c>
      <c r="F15">
        <f t="shared" si="2"/>
        <v>65</v>
      </c>
      <c r="G15" s="17">
        <f t="shared" si="3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2">
        <f t="shared" si="4"/>
        <v>0.34512731481481479</v>
      </c>
      <c r="D16" s="12">
        <f t="shared" si="0"/>
        <v>0.2066550925925926</v>
      </c>
      <c r="E16" s="12">
        <f t="shared" si="1"/>
        <v>5.3460648148148146E-2</v>
      </c>
      <c r="F16">
        <f t="shared" si="2"/>
        <v>83</v>
      </c>
      <c r="G16" s="17">
        <f t="shared" si="3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2">
        <f t="shared" si="4"/>
        <v>0.34531250000000002</v>
      </c>
      <c r="D17" s="12">
        <f t="shared" si="0"/>
        <v>0.17390046296296297</v>
      </c>
      <c r="E17" s="12">
        <f t="shared" si="1"/>
        <v>0.10023148148148148</v>
      </c>
      <c r="F17">
        <f t="shared" si="2"/>
        <v>82</v>
      </c>
      <c r="G17" s="17">
        <f t="shared" si="3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2">
        <f t="shared" si="4"/>
        <v>0.32848379629629632</v>
      </c>
      <c r="D18" s="12">
        <f t="shared" si="0"/>
        <v>0.1973611111111111</v>
      </c>
      <c r="E18" s="12">
        <f t="shared" si="1"/>
        <v>3.9224537037037037E-2</v>
      </c>
      <c r="F18">
        <f t="shared" si="2"/>
        <v>81</v>
      </c>
      <c r="G18" s="17">
        <f t="shared" si="3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2">
        <f t="shared" si="4"/>
        <v>0.34494212962962961</v>
      </c>
      <c r="D19" s="12">
        <f t="shared" si="0"/>
        <v>0.20702546296296295</v>
      </c>
      <c r="E19" s="12">
        <f t="shared" si="1"/>
        <v>4.8692129629629627E-2</v>
      </c>
      <c r="F19">
        <f t="shared" si="2"/>
        <v>80</v>
      </c>
      <c r="G19" s="17">
        <f t="shared" si="3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2">
        <f t="shared" si="4"/>
        <v>0.34810185185185183</v>
      </c>
      <c r="D20" s="12">
        <f t="shared" si="0"/>
        <v>0.18267361111111111</v>
      </c>
      <c r="E20" s="12">
        <f t="shared" si="1"/>
        <v>0.11122685185185185</v>
      </c>
      <c r="F20">
        <f t="shared" si="2"/>
        <v>79</v>
      </c>
      <c r="G20" s="17">
        <f t="shared" si="3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2">
        <f t="shared" si="4"/>
        <v>0.34574074074074074</v>
      </c>
      <c r="D21" s="12">
        <f t="shared" si="0"/>
        <v>0.20710648148148147</v>
      </c>
      <c r="E21" s="12">
        <f t="shared" si="1"/>
        <v>5.1736111111111108E-2</v>
      </c>
      <c r="F21">
        <f t="shared" si="2"/>
        <v>78</v>
      </c>
      <c r="G21" s="17">
        <f t="shared" si="3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2">
        <f t="shared" si="4"/>
        <v>0.34283564814814815</v>
      </c>
      <c r="D22" s="12">
        <f t="shared" si="0"/>
        <v>0.20393518518518519</v>
      </c>
      <c r="E22" s="12">
        <f t="shared" si="1"/>
        <v>4.6516203703703705E-2</v>
      </c>
      <c r="F22">
        <f t="shared" si="2"/>
        <v>77</v>
      </c>
      <c r="G22" s="17">
        <f t="shared" si="3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2">
        <f t="shared" si="4"/>
        <v>0.34553240740740743</v>
      </c>
      <c r="D23" s="12">
        <f t="shared" si="0"/>
        <v>0.20821759259259259</v>
      </c>
      <c r="E23" s="12">
        <f t="shared" si="1"/>
        <v>4.8460648148148149E-2</v>
      </c>
      <c r="F23">
        <f t="shared" si="2"/>
        <v>76</v>
      </c>
      <c r="G23" s="17">
        <f t="shared" si="3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2">
        <f t="shared" si="4"/>
        <v>0.32064814814814813</v>
      </c>
      <c r="D24" s="12">
        <f t="shared" si="0"/>
        <v>0.17288194444444444</v>
      </c>
      <c r="E24" s="12">
        <f t="shared" si="1"/>
        <v>9.0486111111111114E-2</v>
      </c>
      <c r="F24">
        <f t="shared" si="2"/>
        <v>75</v>
      </c>
      <c r="G24" s="17">
        <f t="shared" si="3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2">
        <f t="shared" si="4"/>
        <v>0.34032407407407406</v>
      </c>
      <c r="D25" s="12">
        <f t="shared" si="0"/>
        <v>0.17644675925925926</v>
      </c>
      <c r="E25" s="12">
        <f t="shared" si="1"/>
        <v>9.1168981481481476E-2</v>
      </c>
      <c r="F25">
        <f t="shared" si="2"/>
        <v>74</v>
      </c>
      <c r="G25" s="17">
        <f t="shared" si="3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2">
        <f t="shared" si="4"/>
        <v>0.34328703703703706</v>
      </c>
      <c r="D26" s="12">
        <f t="shared" si="0"/>
        <v>0.22703703703703704</v>
      </c>
      <c r="E26" s="12">
        <f t="shared" si="1"/>
        <v>5.0625000000000003E-2</v>
      </c>
      <c r="F26">
        <f t="shared" si="2"/>
        <v>73</v>
      </c>
      <c r="G26" s="17">
        <f t="shared" si="3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2">
        <f t="shared" si="4"/>
        <v>0.31663194444444442</v>
      </c>
      <c r="D27" s="12">
        <f t="shared" si="0"/>
        <v>0.21199074074074073</v>
      </c>
      <c r="E27" s="12">
        <f t="shared" si="1"/>
        <v>2.1180555555555557E-2</v>
      </c>
      <c r="F27">
        <f t="shared" si="2"/>
        <v>72</v>
      </c>
      <c r="G27" s="17">
        <f t="shared" si="3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2">
        <f t="shared" si="4"/>
        <v>0.34512731481481479</v>
      </c>
      <c r="D28" s="12">
        <f t="shared" si="0"/>
        <v>0.20607638888888888</v>
      </c>
      <c r="E28" s="12">
        <f t="shared" si="1"/>
        <v>4.9768518518518517E-2</v>
      </c>
      <c r="F28">
        <f t="shared" si="2"/>
        <v>71</v>
      </c>
      <c r="G28" s="17">
        <f t="shared" si="3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2">
        <f t="shared" si="4"/>
        <v>0.34297453703703706</v>
      </c>
      <c r="D29" s="12">
        <f t="shared" si="0"/>
        <v>0.21273148148148149</v>
      </c>
      <c r="E29" s="12">
        <f t="shared" si="1"/>
        <v>4.8645833333333333E-2</v>
      </c>
      <c r="F29">
        <f t="shared" si="2"/>
        <v>70</v>
      </c>
      <c r="G29" s="17">
        <f t="shared" si="3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2">
        <f t="shared" si="4"/>
        <v>0.34387731481481482</v>
      </c>
      <c r="D30" s="12">
        <f t="shared" si="0"/>
        <v>0.17480324074074075</v>
      </c>
      <c r="E30" s="12">
        <f t="shared" si="1"/>
        <v>0.11449074074074074</v>
      </c>
      <c r="F30">
        <f t="shared" si="2"/>
        <v>69</v>
      </c>
      <c r="G30" s="17">
        <f t="shared" si="3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2">
        <f t="shared" si="4"/>
        <v>0.31069444444444444</v>
      </c>
      <c r="D31" s="12">
        <f t="shared" si="0"/>
        <v>0.1912962962962963</v>
      </c>
      <c r="E31" s="12">
        <f t="shared" si="1"/>
        <v>5.5787037037037038E-2</v>
      </c>
      <c r="F31">
        <f t="shared" si="2"/>
        <v>68</v>
      </c>
      <c r="G31" s="17">
        <f t="shared" si="3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2">
        <f t="shared" si="4"/>
        <v>0.33329861111111109</v>
      </c>
      <c r="D32" s="12">
        <f t="shared" si="0"/>
        <v>0.21824074074074074</v>
      </c>
      <c r="E32" s="12">
        <f t="shared" si="1"/>
        <v>4.809027777777778E-2</v>
      </c>
      <c r="F32">
        <f t="shared" si="2"/>
        <v>67</v>
      </c>
      <c r="G32" s="17">
        <f t="shared" si="3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2">
        <f t="shared" si="4"/>
        <v>0.34564814814814815</v>
      </c>
      <c r="D33" s="12">
        <f t="shared" si="0"/>
        <v>0.21184027777777778</v>
      </c>
      <c r="E33" s="12">
        <f t="shared" si="1"/>
        <v>8.9745370370370364E-2</v>
      </c>
      <c r="F33">
        <f t="shared" si="2"/>
        <v>66</v>
      </c>
      <c r="G33" s="17">
        <f t="shared" si="3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7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7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7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7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7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7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7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7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7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7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7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7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7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7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7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7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7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7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7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7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7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7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7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7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7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7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7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7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7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7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7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7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7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si="5"/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7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ref="B68:B131" si="16">MID(A68,FIND("_",A68,1)+1,FIND("(",A68,1)-FIND("_",A68,1)-2)</f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7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7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7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7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7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7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7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7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7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7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7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7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7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7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7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7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7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7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7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7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7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7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7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7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7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7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7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7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7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7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7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7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7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7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7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7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7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7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7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7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7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7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7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7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7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7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7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7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7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7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7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7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7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7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7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7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7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7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7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7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7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7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7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si="16"/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7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ref="B132:B150" si="27">MID(A132,FIND("_",A132,1)+1,FIND("(",A132,1)-FIND("_",A132,1)-2)</f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7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7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7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7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7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7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7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7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7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7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7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7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7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7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7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7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7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7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7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7C7E3-A870-4100-846E-AAC8F6F0BE40}">
  <sheetPr codeName="Sheet7"/>
  <dimension ref="A1:F12"/>
  <sheetViews>
    <sheetView tabSelected="1" zoomScale="130" zoomScaleNormal="130" workbookViewId="0">
      <selection activeCell="D4" sqref="D4"/>
    </sheetView>
  </sheetViews>
  <sheetFormatPr defaultRowHeight="14.4" x14ac:dyDescent="0.3"/>
  <cols>
    <col min="1" max="1" width="13.5546875" bestFit="1" customWidth="1"/>
    <col min="2" max="2" width="37" customWidth="1"/>
    <col min="5" max="5" width="13.5546875" bestFit="1" customWidth="1"/>
    <col min="6" max="6" width="37" customWidth="1"/>
  </cols>
  <sheetData>
    <row r="1" spans="1:6" ht="15.6" x14ac:dyDescent="0.35">
      <c r="A1" s="19"/>
      <c r="B1" s="19"/>
      <c r="C1" s="21">
        <v>8</v>
      </c>
      <c r="E1" s="19"/>
      <c r="F1" s="19"/>
    </row>
    <row r="2" spans="1:6" ht="37.200000000000003" customHeight="1" x14ac:dyDescent="0.3">
      <c r="A2" s="19"/>
      <c r="B2" s="19"/>
      <c r="C2" s="15">
        <v>5</v>
      </c>
      <c r="E2" s="19"/>
      <c r="F2" s="19"/>
    </row>
    <row r="3" spans="1:6" ht="20.399999999999999" customHeight="1" x14ac:dyDescent="0.3">
      <c r="A3" s="20" t="s">
        <v>1010</v>
      </c>
      <c r="B3" s="20"/>
      <c r="E3" s="20" t="s">
        <v>1010</v>
      </c>
      <c r="F3" s="20"/>
    </row>
    <row r="4" spans="1:6" x14ac:dyDescent="0.3">
      <c r="A4" s="13" t="s">
        <v>1003</v>
      </c>
      <c r="B4" t="s">
        <v>1009</v>
      </c>
      <c r="E4" s="13" t="s">
        <v>1003</v>
      </c>
      <c r="F4" t="s">
        <v>1011</v>
      </c>
    </row>
    <row r="5" spans="1:6" x14ac:dyDescent="0.3">
      <c r="A5" s="14" t="s">
        <v>1012</v>
      </c>
      <c r="B5" s="18">
        <v>0.38646990740740739</v>
      </c>
      <c r="E5" s="14" t="s">
        <v>1004</v>
      </c>
      <c r="F5" s="16">
        <v>2.0905948641136138</v>
      </c>
    </row>
    <row r="6" spans="1:6" x14ac:dyDescent="0.3">
      <c r="A6" s="14" t="s">
        <v>1004</v>
      </c>
      <c r="B6" s="18">
        <v>1.3668402777777779</v>
      </c>
      <c r="E6" s="14" t="s">
        <v>1005</v>
      </c>
      <c r="F6" s="16">
        <v>1.064298009533315</v>
      </c>
    </row>
    <row r="7" spans="1:6" x14ac:dyDescent="0.3">
      <c r="A7" s="14" t="s">
        <v>1005</v>
      </c>
      <c r="B7" s="18">
        <v>0.66396990740740747</v>
      </c>
      <c r="E7" s="14" t="s">
        <v>1006</v>
      </c>
      <c r="F7" s="16">
        <v>1.122824596941316</v>
      </c>
    </row>
    <row r="8" spans="1:6" x14ac:dyDescent="0.3">
      <c r="A8" s="14" t="s">
        <v>1006</v>
      </c>
      <c r="B8" s="18">
        <v>0.67937500000000006</v>
      </c>
      <c r="E8" s="14" t="s">
        <v>1007</v>
      </c>
      <c r="F8" s="16">
        <v>1.7236731368386569</v>
      </c>
    </row>
    <row r="9" spans="1:6" x14ac:dyDescent="0.3">
      <c r="A9" s="14" t="s">
        <v>1007</v>
      </c>
      <c r="B9" s="18">
        <v>1.0142939814814815</v>
      </c>
      <c r="E9" s="14" t="s">
        <v>1008</v>
      </c>
      <c r="F9" s="16">
        <v>0.80510133036211395</v>
      </c>
    </row>
    <row r="10" spans="1:6" x14ac:dyDescent="0.3">
      <c r="A10" s="14" t="s">
        <v>1013</v>
      </c>
      <c r="B10" s="18">
        <v>0.36775462962962963</v>
      </c>
    </row>
    <row r="11" spans="1:6" x14ac:dyDescent="0.3">
      <c r="A11" s="14" t="s">
        <v>1008</v>
      </c>
      <c r="B11" s="18">
        <v>0.67259259259259263</v>
      </c>
    </row>
    <row r="12" spans="1:6" x14ac:dyDescent="0.3">
      <c r="A12" s="14" t="s">
        <v>1014</v>
      </c>
      <c r="B12" s="18">
        <v>0.36542824074074076</v>
      </c>
    </row>
  </sheetData>
  <mergeCells count="2">
    <mergeCell ref="A3:B3"/>
    <mergeCell ref="E3:F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pinner 1">
              <controlPr defaultSize="0" autoPict="0" macro="[0]!Module2.Spinner1_Code">
                <anchor moveWithCells="1" sizeWithCells="1">
                  <from>
                    <xdr:col>1</xdr:col>
                    <xdr:colOff>800100</xdr:colOff>
                    <xdr:row>0</xdr:row>
                    <xdr:rowOff>152400</xdr:rowOff>
                  </from>
                  <to>
                    <xdr:col>1</xdr:col>
                    <xdr:colOff>998220</xdr:colOff>
                    <xdr:row>1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Spinner 2">
              <controlPr defaultSize="0" autoPict="0" macro="[0]!Module2.Spinner1_Code">
                <anchor moveWithCells="1" sizeWithCells="1">
                  <from>
                    <xdr:col>1</xdr:col>
                    <xdr:colOff>2377440</xdr:colOff>
                    <xdr:row>9</xdr:row>
                    <xdr:rowOff>106680</xdr:rowOff>
                  </from>
                  <to>
                    <xdr:col>2</xdr:col>
                    <xdr:colOff>38100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Spinner 3">
              <controlPr defaultSize="0" autoPict="0" macro="[0]!Spinner3_Code">
                <anchor moveWithCells="1" sizeWithCells="1">
                  <from>
                    <xdr:col>5</xdr:col>
                    <xdr:colOff>792480</xdr:colOff>
                    <xdr:row>0</xdr:row>
                    <xdr:rowOff>144780</xdr:rowOff>
                  </from>
                  <to>
                    <xdr:col>5</xdr:col>
                    <xdr:colOff>990600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pinner 5">
              <controlPr defaultSize="0" autoPict="0" macro="[0]!Spinner3_Code">
                <anchor moveWithCells="1" sizeWithCells="1">
                  <from>
                    <xdr:col>5</xdr:col>
                    <xdr:colOff>1699260</xdr:colOff>
                    <xdr:row>11</xdr:row>
                    <xdr:rowOff>30480</xdr:rowOff>
                  </from>
                  <to>
                    <xdr:col>5</xdr:col>
                    <xdr:colOff>1897380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Break</vt:lpstr>
      <vt:lpstr>Efficiency</vt:lpstr>
      <vt:lpstr>OverAll Performance</vt:lpstr>
      <vt:lpstr>Summary </vt:lpstr>
      <vt:lpstr>Dashboard </vt:lpstr>
      <vt:lpstr>BData</vt:lpstr>
      <vt:lpstr>Break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kamal javalkar</cp:lastModifiedBy>
  <dcterms:created xsi:type="dcterms:W3CDTF">2022-05-04T01:32:35Z</dcterms:created>
  <dcterms:modified xsi:type="dcterms:W3CDTF">2026-03-08T14:25:43Z</dcterms:modified>
</cp:coreProperties>
</file>